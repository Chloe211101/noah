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<sst xmlns="http://schemas.openxmlformats.org/spreadsheetml/2006/main" count="376" uniqueCount="146">
  <si>
    <t>订单号</t>
  </si>
  <si>
    <t>业务员</t>
  </si>
  <si>
    <t>客户名称</t>
  </si>
  <si>
    <t>总金额</t>
  </si>
  <si>
    <t>已收金额</t>
  </si>
  <si>
    <t>未收金额</t>
  </si>
  <si>
    <t>发出状态</t>
  </si>
  <si>
    <t>订单状态</t>
  </si>
  <si>
    <t>订单日期</t>
  </si>
  <si>
    <t>出货日期</t>
  </si>
  <si>
    <t>产品名称</t>
  </si>
  <si>
    <t>CL20260105-NY</t>
  </si>
  <si>
    <t>CAROL</t>
  </si>
  <si>
    <t>NOYON</t>
  </si>
  <si>
    <t>已发出</t>
  </si>
  <si>
    <t>已收清</t>
  </si>
  <si>
    <t>CL20260108-NY</t>
  </si>
  <si>
    <t>Sanilux</t>
  </si>
  <si>
    <t>未发出</t>
  </si>
  <si>
    <t>部分收款</t>
  </si>
  <si>
    <t>CL20260115</t>
  </si>
  <si>
    <t>DRAMINA LLC</t>
  </si>
  <si>
    <t>CL20260121-NY</t>
  </si>
  <si>
    <t>Luiheld</t>
  </si>
  <si>
    <t>CL20260123-NY</t>
  </si>
  <si>
    <t>SINDECO</t>
  </si>
  <si>
    <t>CL20260127-NY</t>
  </si>
  <si>
    <t>Alino</t>
  </si>
  <si>
    <t>未收款</t>
  </si>
  <si>
    <t>CL20260129-NY</t>
  </si>
  <si>
    <t>TOP TIP</t>
  </si>
  <si>
    <t>部分发出</t>
  </si>
  <si>
    <t>CL20260224-NY</t>
  </si>
  <si>
    <t>MODY</t>
  </si>
  <si>
    <t>CL20260304-NY</t>
  </si>
  <si>
    <t>CL20260306-HS</t>
  </si>
  <si>
    <t>IPERINOX</t>
  </si>
  <si>
    <t>CL20260319-NY</t>
  </si>
  <si>
    <t>DI-OR</t>
  </si>
  <si>
    <t>CL20260407-NY</t>
  </si>
  <si>
    <t>取消订单</t>
  </si>
  <si>
    <t>CL20260402-NY</t>
  </si>
  <si>
    <t>MSO</t>
  </si>
  <si>
    <t>CL20260415-NY</t>
  </si>
  <si>
    <t>DUSCHAL</t>
  </si>
  <si>
    <t>外购</t>
  </si>
  <si>
    <t>CL20260416-NY</t>
  </si>
  <si>
    <t>CL20260519-HS</t>
  </si>
  <si>
    <t>VTB</t>
  </si>
  <si>
    <t>CL20260512A-NY</t>
  </si>
  <si>
    <t>CL20260512B-NY</t>
  </si>
  <si>
    <t>CL20260522-NY</t>
  </si>
  <si>
    <t>MPF</t>
  </si>
  <si>
    <t>PI-VTNL20260116-NY</t>
  </si>
  <si>
    <t>VITA</t>
  </si>
  <si>
    <t>dynamic</t>
  </si>
  <si>
    <t>美金</t>
  </si>
  <si>
    <t>VTPL20260129-NY</t>
  </si>
  <si>
    <t>PI-VTHR20260126</t>
  </si>
  <si>
    <t>Fero-Term</t>
  </si>
  <si>
    <t>PI-CMHR20260126-NY</t>
  </si>
  <si>
    <t>ERA</t>
  </si>
  <si>
    <t>VTTU20260225-NY</t>
  </si>
  <si>
    <t>besterm</t>
  </si>
  <si>
    <t>VTPL20260224-NY</t>
  </si>
  <si>
    <t>aquaheating</t>
  </si>
  <si>
    <t>VTNL20260229-NY</t>
  </si>
  <si>
    <t>VTBE20260228-NY</t>
  </si>
  <si>
    <t>versa</t>
  </si>
  <si>
    <t>VTPL20260226-NY</t>
  </si>
  <si>
    <t>VTPL20260326-NY</t>
  </si>
  <si>
    <t>VTHU20260401-NY</t>
  </si>
  <si>
    <t>arezzo</t>
  </si>
  <si>
    <t>VTNL20260402-NY</t>
  </si>
  <si>
    <t>sawiday</t>
  </si>
  <si>
    <t>PI-VTTA20260318-NY</t>
  </si>
  <si>
    <t>muso</t>
  </si>
  <si>
    <t>人民币</t>
  </si>
  <si>
    <t>VTPL20260408-NY</t>
  </si>
  <si>
    <t>metal hurt</t>
  </si>
  <si>
    <t>VTPL20260408-NY-2</t>
  </si>
  <si>
    <t>dg group</t>
  </si>
  <si>
    <t>VTPL20260409-NY</t>
  </si>
  <si>
    <t>bw tech</t>
  </si>
  <si>
    <t>VTPL20260420-NY</t>
  </si>
  <si>
    <t>balneo</t>
  </si>
  <si>
    <t>PI-VTPL20260421-NY</t>
  </si>
  <si>
    <t>hagser</t>
  </si>
  <si>
    <t>VTBA20260428</t>
  </si>
  <si>
    <t>CMBE20260427-NY</t>
  </si>
  <si>
    <t>brico</t>
  </si>
  <si>
    <t>VTPL20260429-NY</t>
  </si>
  <si>
    <t>VTPL20260316-NY</t>
  </si>
  <si>
    <t>des group</t>
  </si>
  <si>
    <t>VTPL20260509-YZ</t>
  </si>
  <si>
    <t>bielbet</t>
  </si>
  <si>
    <t>VTPL20260506-NY</t>
  </si>
  <si>
    <t>estiva</t>
  </si>
  <si>
    <t>PI-CMGR20260508-NY-1</t>
  </si>
  <si>
    <t>bathroomplus</t>
  </si>
  <si>
    <t>PI-VTNL20260511-NY</t>
  </si>
  <si>
    <t>TDW</t>
  </si>
  <si>
    <t>PI-VTPL20260506-NY</t>
  </si>
  <si>
    <t>ADW</t>
  </si>
  <si>
    <t>CMKAZ2026513-NY</t>
  </si>
  <si>
    <t>Ruslan</t>
  </si>
  <si>
    <t>样品INVOICE</t>
  </si>
  <si>
    <t>sanibell</t>
  </si>
  <si>
    <t>VTPL20260512-NY</t>
  </si>
  <si>
    <t>VTHU20260515-NY</t>
  </si>
  <si>
    <t>roltechnik</t>
  </si>
  <si>
    <t>VTPL20260420-NY-2</t>
  </si>
  <si>
    <t>NY20260126TL</t>
  </si>
  <si>
    <t>Ting</t>
  </si>
  <si>
    <t>Vassity</t>
  </si>
  <si>
    <t>TL20260122</t>
  </si>
  <si>
    <t>H-DUO</t>
  </si>
  <si>
    <t>TL20260323</t>
  </si>
  <si>
    <t>Orient Focus</t>
  </si>
  <si>
    <t>NY20260414TL</t>
  </si>
  <si>
    <t>Matrix</t>
  </si>
  <si>
    <t>NY20260428TL</t>
  </si>
  <si>
    <t>NY20260429TL</t>
  </si>
  <si>
    <t>AKS</t>
  </si>
  <si>
    <t>PO26SH4421</t>
  </si>
  <si>
    <t>Zegor</t>
  </si>
  <si>
    <t>PO4600022403</t>
  </si>
  <si>
    <t>YATO</t>
  </si>
  <si>
    <t>NY20260507TL</t>
  </si>
  <si>
    <t>Roxy Georgia</t>
  </si>
  <si>
    <t>PI-STO-006</t>
  </si>
  <si>
    <t>Claire</t>
  </si>
  <si>
    <t>Stonetooling</t>
  </si>
  <si>
    <t>PI-KIN0224+0327</t>
  </si>
  <si>
    <t>台叙</t>
  </si>
  <si>
    <t>PI-AFL260311</t>
  </si>
  <si>
    <t>埃飞灵卫浴</t>
  </si>
  <si>
    <t>YZ-DEG260319CL</t>
  </si>
  <si>
    <t>deghi</t>
  </si>
  <si>
    <t>YZ-CRO20260318</t>
  </si>
  <si>
    <t>Ricky</t>
  </si>
  <si>
    <t>PI-KIN-0513</t>
  </si>
  <si>
    <t>YZ-NY260514</t>
  </si>
  <si>
    <t>Aman</t>
  </si>
  <si>
    <t>YZ-UAB20260506</t>
  </si>
  <si>
    <t>almarunoprekyba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</si>
</sst>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zoomScale="110" zoomScaleNormal="110" workbookViewId="0">
      <pane ySplit="1" topLeftCell="A38" activePane="bottomLeft" state="frozen"/>
      <selection/>
      <selection pane="bottomLeft" activeCell="F56" sqref="F56"/>
    </sheetView>
  </sheetViews>
  <sheetFormatPr defaultColWidth="9" defaultRowHeight="16.5"/>
  <cols>
    <col min="1" max="1" width="25.25" style="1" customWidth="1"/>
    <col min="2" max="2" width="9" style="1"/>
    <col min="3" max="3" width="18.125" style="1" customWidth="1"/>
    <col min="4" max="4" width="13.625" style="1" customWidth="1"/>
    <col min="5" max="5" width="11.625" style="1" customWidth="1"/>
    <col min="6" max="6" width="11.625" style="1"/>
    <col min="7" max="7" width="9" style="1"/>
    <col min="8" max="8" width="8.875" style="1" customWidth="1"/>
    <col min="9" max="9" width="10.875" style="2"/>
    <col min="10" max="10" width="10.875" style="2" customWidth="1"/>
    <col min="11" max="11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>
        <f>7*30744.5</f>
        <v>215211.5</v>
      </c>
      <c r="E2" s="1">
        <f>7*30744.5</f>
        <v>215211.5</v>
      </c>
      <c r="F2" s="1">
        <f>D2-E2</f>
        <v>0</v>
      </c>
      <c r="G2" s="1" t="s">
        <v>14</v>
      </c>
      <c r="H2" s="1" t="s">
        <v>15</v>
      </c>
      <c r="I2" s="2">
        <v>46027</v>
      </c>
      <c r="J2" s="2">
        <v>46136</v>
      </c>
    </row>
    <row r="3" spans="1:11">
      <c r="A3" s="1" t="s">
        <v>16</v>
      </c>
      <c r="B3" s="1" t="s">
        <v>12</v>
      </c>
      <c r="C3" s="1" t="s">
        <v>17</v>
      </c>
      <c r="D3" s="1">
        <f>7*7393.8</f>
        <v>51756.6</v>
      </c>
      <c r="E3" s="1">
        <f>7*2218.14</f>
        <v>15526.98</v>
      </c>
      <c r="F3" s="1">
        <f>D3-E3</f>
        <v>36229.62</v>
      </c>
      <c r="G3" s="1" t="s">
        <v>18</v>
      </c>
      <c r="H3" s="1" t="s">
        <v>19</v>
      </c>
      <c r="I3" s="2">
        <v>46030</v>
      </c>
    </row>
    <row r="4" spans="1:11">
      <c r="A4" s="1" t="s">
        <v>20</v>
      </c>
      <c r="B4" s="1" t="s">
        <v>12</v>
      </c>
      <c r="C4" s="1" t="s">
        <v>21</v>
      </c>
      <c r="D4" s="3">
        <v>127704.36</v>
      </c>
      <c r="E4" s="1">
        <v>127704.36</v>
      </c>
      <c r="F4" s="1">
        <f>D4-E4</f>
        <v>0</v>
      </c>
      <c r="G4" s="1" t="s">
        <v>14</v>
      </c>
      <c r="H4" s="1" t="s">
        <v>15</v>
      </c>
      <c r="I4" s="2">
        <v>46037</v>
      </c>
      <c r="J4" s="2">
        <v>46107</v>
      </c>
    </row>
    <row r="5" ht="15" customHeight="1" spans="1:11">
      <c r="A5" s="1" t="s">
        <v>22</v>
      </c>
      <c r="B5" s="1" t="s">
        <v>12</v>
      </c>
      <c r="C5" s="1" t="s">
        <v>23</v>
      </c>
      <c r="D5" s="1">
        <f>7*35064.7</f>
        <v>245452.9</v>
      </c>
      <c r="E5" s="1">
        <f>7*9515.7</f>
        <v>66609.9</v>
      </c>
      <c r="F5" s="1">
        <f>D5-E5</f>
        <v>178843</v>
      </c>
      <c r="G5" s="1" t="s">
        <v>14</v>
      </c>
      <c r="H5" s="1" t="s">
        <v>19</v>
      </c>
      <c r="I5" s="2">
        <v>46043</v>
      </c>
      <c r="J5" s="2">
        <v>46127</v>
      </c>
    </row>
    <row r="6" spans="1:11">
      <c r="A6" s="1" t="s">
        <v>24</v>
      </c>
      <c r="B6" s="1" t="s">
        <v>12</v>
      </c>
      <c r="C6" s="1" t="s">
        <v>25</v>
      </c>
      <c r="D6" s="1">
        <f>7*4880</f>
        <v>34160</v>
      </c>
      <c r="E6" s="1">
        <f>7*4880</f>
        <v>34160</v>
      </c>
      <c r="F6" s="1">
        <f t="shared" ref="F6:F20" si="0">D6-E6</f>
        <v>0</v>
      </c>
      <c r="G6" s="1" t="s">
        <v>14</v>
      </c>
      <c r="H6" s="1" t="s">
        <v>15</v>
      </c>
      <c r="I6" s="2">
        <v>46045</v>
      </c>
      <c r="J6" s="2">
        <v>46133</v>
      </c>
    </row>
    <row r="7" spans="1:11">
      <c r="A7" s="1" t="s">
        <v>26</v>
      </c>
      <c r="B7" s="1" t="s">
        <v>12</v>
      </c>
      <c r="C7" s="1" t="s">
        <v>27</v>
      </c>
      <c r="D7" s="1">
        <f>7*11182.69</f>
        <v>78278.83</v>
      </c>
      <c r="E7" s="1">
        <v>0</v>
      </c>
      <c r="F7" s="1">
        <f t="shared" si="0"/>
        <v>78278.83</v>
      </c>
      <c r="G7" s="1" t="s">
        <v>14</v>
      </c>
      <c r="H7" s="1" t="s">
        <v>28</v>
      </c>
      <c r="I7" s="2">
        <v>46049</v>
      </c>
      <c r="J7" s="2">
        <v>46131</v>
      </c>
    </row>
    <row r="8" spans="1:11">
      <c r="A8" s="1" t="s">
        <v>29</v>
      </c>
      <c r="B8" s="1" t="s">
        <v>12</v>
      </c>
      <c r="C8" s="1" t="s">
        <v>30</v>
      </c>
      <c r="D8" s="1">
        <f>7*69685.2</f>
        <v>487796.4</v>
      </c>
      <c r="E8" s="1">
        <f>7*14021.3</f>
        <v>98149.1</v>
      </c>
      <c r="F8" s="1">
        <f t="shared" si="0"/>
        <v>389647.3</v>
      </c>
      <c r="G8" s="1" t="s">
        <v>31</v>
      </c>
      <c r="H8" s="1" t="s">
        <v>19</v>
      </c>
      <c r="I8" s="2">
        <v>46051</v>
      </c>
      <c r="J8" s="2">
        <v>46128</v>
      </c>
    </row>
    <row r="9" spans="1:11">
      <c r="A9" s="1" t="s">
        <v>32</v>
      </c>
      <c r="B9" s="1" t="s">
        <v>12</v>
      </c>
      <c r="C9" s="1" t="s">
        <v>33</v>
      </c>
      <c r="D9" s="1">
        <f>7*10310</f>
        <v>72170</v>
      </c>
      <c r="E9" s="1">
        <f>7*10310</f>
        <v>72170</v>
      </c>
      <c r="F9" s="1">
        <f t="shared" si="0"/>
        <v>0</v>
      </c>
      <c r="G9" s="1" t="s">
        <v>14</v>
      </c>
      <c r="H9" s="1" t="s">
        <v>15</v>
      </c>
      <c r="I9" s="2">
        <v>46077</v>
      </c>
      <c r="J9" s="2">
        <v>46133</v>
      </c>
    </row>
    <row r="10" spans="1:11">
      <c r="A10" s="1" t="s">
        <v>34</v>
      </c>
      <c r="B10" s="1" t="s">
        <v>12</v>
      </c>
      <c r="C10" s="1" t="s">
        <v>13</v>
      </c>
      <c r="D10" s="1">
        <f>7*8551</f>
        <v>59857</v>
      </c>
      <c r="E10" s="1">
        <f>7*8551</f>
        <v>59857</v>
      </c>
      <c r="F10" s="1">
        <f t="shared" si="0"/>
        <v>0</v>
      </c>
      <c r="G10" s="1" t="s">
        <v>14</v>
      </c>
      <c r="H10" s="1" t="s">
        <v>15</v>
      </c>
      <c r="I10" s="2">
        <v>46085</v>
      </c>
      <c r="J10" s="2">
        <v>46136</v>
      </c>
    </row>
    <row r="11" spans="1:11">
      <c r="A11" s="1" t="s">
        <v>35</v>
      </c>
      <c r="B11" s="1" t="s">
        <v>12</v>
      </c>
      <c r="C11" s="1" t="s">
        <v>36</v>
      </c>
      <c r="D11" s="1">
        <f>7*81677.03</f>
        <v>571739.21</v>
      </c>
      <c r="E11" s="1">
        <f>7*24504</f>
        <v>171528</v>
      </c>
      <c r="F11" s="1">
        <f t="shared" si="0"/>
        <v>400211.21</v>
      </c>
      <c r="G11" s="1" t="s">
        <v>18</v>
      </c>
      <c r="H11" s="1" t="s">
        <v>19</v>
      </c>
      <c r="I11" s="2">
        <v>46087</v>
      </c>
    </row>
    <row r="12" spans="1:11">
      <c r="A12" s="1" t="s">
        <v>37</v>
      </c>
      <c r="B12" s="1" t="s">
        <v>12</v>
      </c>
      <c r="C12" s="1" t="s">
        <v>38</v>
      </c>
      <c r="D12" s="1">
        <f>7*24859.8</f>
        <v>174018.6</v>
      </c>
      <c r="E12" s="1">
        <f>7*6000</f>
        <v>42000</v>
      </c>
      <c r="F12" s="1">
        <f t="shared" si="0"/>
        <v>132018.6</v>
      </c>
      <c r="G12" s="1" t="s">
        <v>14</v>
      </c>
      <c r="H12" s="1" t="s">
        <v>19</v>
      </c>
      <c r="I12" s="2">
        <v>46100</v>
      </c>
      <c r="J12" s="2">
        <v>46160</v>
      </c>
    </row>
    <row r="13" spans="1:11">
      <c r="A13" s="1" t="s">
        <v>39</v>
      </c>
      <c r="B13" s="1" t="s">
        <v>12</v>
      </c>
      <c r="C13" s="1" t="s">
        <v>25</v>
      </c>
      <c r="D13" s="1">
        <f>7*8272.12</f>
        <v>57904.84</v>
      </c>
      <c r="E13" s="1">
        <f>7*1200</f>
        <v>8400</v>
      </c>
      <c r="F13" s="1">
        <f t="shared" si="0"/>
        <v>49504.84</v>
      </c>
      <c r="G13" s="1" t="s">
        <v>14</v>
      </c>
      <c r="H13" s="1" t="s">
        <v>19</v>
      </c>
      <c r="I13" s="2">
        <v>46119</v>
      </c>
      <c r="J13" s="2">
        <v>46154</v>
      </c>
      <c r="K13" s="1" t="s">
        <v>40</v>
      </c>
    </row>
    <row r="14" spans="1:11">
      <c r="A14" s="1" t="s">
        <v>41</v>
      </c>
      <c r="B14" s="1" t="s">
        <v>12</v>
      </c>
      <c r="C14" s="1" t="s">
        <v>42</v>
      </c>
      <c r="D14" s="1">
        <f>7*16127.04</f>
        <v>112889.28</v>
      </c>
      <c r="E14" s="1">
        <f>7*3225.4</f>
        <v>22577.8</v>
      </c>
      <c r="F14" s="1">
        <f t="shared" si="0"/>
        <v>90311.48</v>
      </c>
      <c r="G14" s="1" t="s">
        <v>18</v>
      </c>
      <c r="H14" s="1" t="s">
        <v>19</v>
      </c>
      <c r="I14" s="2">
        <v>46114</v>
      </c>
    </row>
    <row r="15" spans="1:11">
      <c r="A15" s="1" t="s">
        <v>43</v>
      </c>
      <c r="B15" s="1" t="s">
        <v>12</v>
      </c>
      <c r="C15" s="1" t="s">
        <v>44</v>
      </c>
      <c r="D15" s="1">
        <f>7*72002</f>
        <v>504014</v>
      </c>
      <c r="E15" s="1">
        <f>7*20000</f>
        <v>140000</v>
      </c>
      <c r="F15" s="1">
        <f t="shared" si="0"/>
        <v>364014</v>
      </c>
      <c r="G15" s="1" t="s">
        <v>18</v>
      </c>
      <c r="H15" s="1" t="s">
        <v>19</v>
      </c>
      <c r="I15" s="2">
        <v>46127</v>
      </c>
      <c r="K15" s="1" t="s">
        <v>45</v>
      </c>
    </row>
    <row r="16" spans="1:11">
      <c r="A16" s="1" t="s">
        <v>46</v>
      </c>
      <c r="B16" s="1" t="s">
        <v>12</v>
      </c>
      <c r="C16" s="1" t="s">
        <v>27</v>
      </c>
      <c r="D16" s="1">
        <f>7*10724.65</f>
        <v>75072.55</v>
      </c>
      <c r="E16" s="1">
        <v>0</v>
      </c>
      <c r="F16" s="1">
        <f t="shared" si="0"/>
        <v>75072.55</v>
      </c>
      <c r="G16" s="1" t="s">
        <v>18</v>
      </c>
      <c r="H16" s="1" t="s">
        <v>28</v>
      </c>
      <c r="I16" s="2">
        <v>46128</v>
      </c>
    </row>
    <row r="17" spans="1:11">
      <c r="A17" s="1" t="s">
        <v>47</v>
      </c>
      <c r="B17" s="1" t="s">
        <v>12</v>
      </c>
      <c r="C17" s="1" t="s">
        <v>48</v>
      </c>
      <c r="D17" s="1">
        <f>7*11629</f>
        <v>81403</v>
      </c>
      <c r="E17" s="1">
        <f>7*3478.7</f>
        <v>24350.9</v>
      </c>
      <c r="F17" s="1">
        <f t="shared" si="0"/>
        <v>57052.1</v>
      </c>
      <c r="G17" s="1" t="s">
        <v>18</v>
      </c>
      <c r="H17" s="1" t="s">
        <v>19</v>
      </c>
      <c r="I17" s="2">
        <v>46161</v>
      </c>
    </row>
    <row r="18" spans="1:11">
      <c r="A18" s="1" t="s">
        <v>49</v>
      </c>
      <c r="B18" s="1" t="s">
        <v>12</v>
      </c>
      <c r="C18" s="1" t="s">
        <v>30</v>
      </c>
      <c r="D18" s="1">
        <f>7*44991</f>
        <v>314937</v>
      </c>
      <c r="F18" s="1">
        <f t="shared" si="0"/>
        <v>314937</v>
      </c>
      <c r="G18" s="1" t="s">
        <v>18</v>
      </c>
      <c r="H18" s="1" t="s">
        <v>28</v>
      </c>
      <c r="I18" s="2">
        <v>46154</v>
      </c>
    </row>
    <row r="19" spans="1:11">
      <c r="A19" s="1" t="s">
        <v>50</v>
      </c>
      <c r="B19" s="1" t="s">
        <v>12</v>
      </c>
      <c r="C19" s="1" t="s">
        <v>30</v>
      </c>
      <c r="D19" s="1">
        <f>7*750</f>
        <v>5250</v>
      </c>
      <c r="F19" s="1">
        <f t="shared" si="0"/>
        <v>5250</v>
      </c>
      <c r="G19" s="1" t="s">
        <v>18</v>
      </c>
      <c r="H19" s="1" t="s">
        <v>28</v>
      </c>
      <c r="I19" s="2">
        <v>46154</v>
      </c>
    </row>
    <row r="20" spans="1:11">
      <c r="A20" s="1" t="s">
        <v>51</v>
      </c>
      <c r="B20" s="1" t="s">
        <v>12</v>
      </c>
      <c r="C20" s="1" t="s">
        <v>52</v>
      </c>
      <c r="D20" s="3">
        <v>237743</v>
      </c>
      <c r="F20" s="1">
        <f t="shared" si="0"/>
        <v>237743</v>
      </c>
      <c r="G20" s="1" t="s">
        <v>18</v>
      </c>
      <c r="H20" s="1" t="s">
        <v>28</v>
      </c>
      <c r="I20" s="2">
        <v>46164</v>
      </c>
    </row>
    <row r="21" spans="1:11">
      <c r="A21" s="1" t="s">
        <v>53</v>
      </c>
      <c r="B21" s="1" t="s">
        <v>54</v>
      </c>
      <c r="C21" s="1" t="s">
        <v>55</v>
      </c>
      <c r="D21" s="4">
        <v>910</v>
      </c>
      <c r="E21" s="4">
        <v>910</v>
      </c>
      <c r="F21" s="1">
        <f t="shared" ref="F21:F53" si="1">D21-E21</f>
        <v>0</v>
      </c>
      <c r="G21" s="1" t="s">
        <v>14</v>
      </c>
      <c r="H21" s="1" t="s">
        <v>15</v>
      </c>
      <c r="I21" s="2">
        <v>46038</v>
      </c>
      <c r="K21" s="1" t="s">
        <v>56</v>
      </c>
    </row>
    <row r="22" spans="1:11">
      <c r="A22" s="1" t="s">
        <v>57</v>
      </c>
      <c r="B22" s="1" t="s">
        <v>54</v>
      </c>
      <c r="C22" s="1">
        <v>123</v>
      </c>
      <c r="D22" s="4">
        <v>43841</v>
      </c>
      <c r="E22" s="4">
        <v>43701</v>
      </c>
      <c r="F22" s="1">
        <v>0</v>
      </c>
      <c r="G22" s="1" t="s">
        <v>14</v>
      </c>
      <c r="H22" s="1" t="s">
        <v>15</v>
      </c>
      <c r="I22" s="2">
        <v>46051</v>
      </c>
      <c r="J22" s="2">
        <v>46119</v>
      </c>
      <c r="K22" s="1" t="s">
        <v>56</v>
      </c>
    </row>
    <row r="23" spans="1:11">
      <c r="A23" s="1" t="s">
        <v>58</v>
      </c>
      <c r="B23" s="1" t="s">
        <v>54</v>
      </c>
      <c r="C23" s="1" t="s">
        <v>59</v>
      </c>
      <c r="D23" s="4">
        <v>204146.6</v>
      </c>
      <c r="E23" s="4">
        <v>203551.6</v>
      </c>
      <c r="F23" s="1">
        <v>0</v>
      </c>
      <c r="G23" s="1" t="s">
        <v>14</v>
      </c>
      <c r="H23" s="1" t="s">
        <v>15</v>
      </c>
      <c r="I23" s="2">
        <v>46048</v>
      </c>
      <c r="J23" s="2">
        <v>46118</v>
      </c>
      <c r="K23" s="1" t="s">
        <v>56</v>
      </c>
    </row>
    <row r="24" spans="1:11">
      <c r="A24" s="1" t="s">
        <v>60</v>
      </c>
      <c r="B24" s="1" t="s">
        <v>54</v>
      </c>
      <c r="C24" s="1" t="s">
        <v>61</v>
      </c>
      <c r="D24" s="4">
        <v>206871</v>
      </c>
      <c r="E24" s="4">
        <v>62061.3</v>
      </c>
      <c r="F24" s="1">
        <f t="shared" si="1"/>
        <v>144809.7</v>
      </c>
      <c r="G24" s="1" t="s">
        <v>14</v>
      </c>
      <c r="H24" s="1" t="s">
        <v>19</v>
      </c>
      <c r="I24" s="2">
        <v>46048</v>
      </c>
      <c r="J24" s="2">
        <v>46121</v>
      </c>
      <c r="K24" s="1" t="s">
        <v>56</v>
      </c>
    </row>
    <row r="25" spans="1:11">
      <c r="A25" s="1" t="s">
        <v>62</v>
      </c>
      <c r="B25" s="1" t="s">
        <v>54</v>
      </c>
      <c r="C25" s="1" t="s">
        <v>63</v>
      </c>
      <c r="D25" s="4">
        <v>114379.72</v>
      </c>
      <c r="E25" s="4">
        <v>57186.5</v>
      </c>
      <c r="F25" s="1">
        <f t="shared" si="1"/>
        <v>57193.22</v>
      </c>
      <c r="G25" s="1" t="s">
        <v>14</v>
      </c>
      <c r="H25" s="1" t="s">
        <v>19</v>
      </c>
      <c r="I25" s="2">
        <v>46078</v>
      </c>
      <c r="J25" s="2">
        <v>46118</v>
      </c>
      <c r="K25" s="1" t="s">
        <v>56</v>
      </c>
    </row>
    <row r="26" spans="1:11">
      <c r="A26" s="1" t="s">
        <v>64</v>
      </c>
      <c r="B26" s="1" t="s">
        <v>54</v>
      </c>
      <c r="C26" s="1" t="s">
        <v>65</v>
      </c>
      <c r="D26" s="4">
        <v>232854.65</v>
      </c>
      <c r="E26" s="4">
        <v>69858.11</v>
      </c>
      <c r="F26" s="1">
        <f t="shared" si="1"/>
        <v>162996.54</v>
      </c>
      <c r="G26" s="1" t="s">
        <v>14</v>
      </c>
      <c r="H26" s="1" t="s">
        <v>19</v>
      </c>
      <c r="I26" s="2">
        <v>46077</v>
      </c>
      <c r="J26" s="2">
        <v>46134</v>
      </c>
      <c r="K26" s="1" t="s">
        <v>56</v>
      </c>
    </row>
    <row r="27" spans="1:11">
      <c r="A27" s="1" t="s">
        <v>66</v>
      </c>
      <c r="B27" s="1" t="s">
        <v>54</v>
      </c>
      <c r="C27" s="1" t="s">
        <v>55</v>
      </c>
      <c r="D27" s="4">
        <v>30326.8</v>
      </c>
      <c r="E27" s="4">
        <v>3032.68</v>
      </c>
      <c r="F27" s="1">
        <f t="shared" si="1"/>
        <v>27294.12</v>
      </c>
      <c r="G27" s="1" t="s">
        <v>14</v>
      </c>
      <c r="H27" s="1" t="s">
        <v>19</v>
      </c>
      <c r="I27" s="2">
        <v>46081</v>
      </c>
      <c r="J27" s="2">
        <v>46150</v>
      </c>
      <c r="K27" s="1" t="s">
        <v>56</v>
      </c>
    </row>
    <row r="28" spans="1:11">
      <c r="A28" s="1" t="s">
        <v>67</v>
      </c>
      <c r="B28" s="1" t="s">
        <v>54</v>
      </c>
      <c r="C28" s="1" t="s">
        <v>68</v>
      </c>
      <c r="D28" s="4">
        <v>858390.68</v>
      </c>
      <c r="E28" s="4">
        <v>0</v>
      </c>
      <c r="F28" s="1">
        <f t="shared" si="1"/>
        <v>858390.68</v>
      </c>
      <c r="G28" s="1" t="s">
        <v>14</v>
      </c>
      <c r="H28" s="1" t="s">
        <v>28</v>
      </c>
      <c r="I28" s="2">
        <v>46081</v>
      </c>
      <c r="J28" s="2">
        <v>46132</v>
      </c>
      <c r="K28" s="1" t="s">
        <v>56</v>
      </c>
    </row>
    <row r="29" spans="1:11">
      <c r="A29" s="1" t="s">
        <v>69</v>
      </c>
      <c r="B29" s="1" t="s">
        <v>54</v>
      </c>
      <c r="C29" s="1">
        <v>123</v>
      </c>
      <c r="D29" s="4">
        <v>72030</v>
      </c>
      <c r="E29" s="4">
        <v>24360</v>
      </c>
      <c r="F29" s="1">
        <f t="shared" si="1"/>
        <v>47670</v>
      </c>
      <c r="G29" s="1" t="s">
        <v>14</v>
      </c>
      <c r="H29" s="1" t="s">
        <v>19</v>
      </c>
      <c r="I29" s="2">
        <v>46079</v>
      </c>
      <c r="J29" s="2">
        <v>46149</v>
      </c>
      <c r="K29" s="1" t="s">
        <v>56</v>
      </c>
    </row>
    <row r="30" spans="1:11">
      <c r="A30" s="1" t="s">
        <v>70</v>
      </c>
      <c r="B30" s="1" t="s">
        <v>54</v>
      </c>
      <c r="C30" s="1">
        <v>123</v>
      </c>
      <c r="D30" s="4">
        <v>60441.5</v>
      </c>
      <c r="E30" s="4">
        <v>21000</v>
      </c>
      <c r="F30" s="1">
        <f t="shared" si="1"/>
        <v>39441.5</v>
      </c>
      <c r="G30" s="1" t="s">
        <v>14</v>
      </c>
      <c r="H30" s="1" t="s">
        <v>19</v>
      </c>
      <c r="I30" s="2">
        <v>46107</v>
      </c>
      <c r="J30" s="2">
        <v>46160</v>
      </c>
      <c r="K30" s="1" t="s">
        <v>56</v>
      </c>
    </row>
    <row r="31" spans="1:11">
      <c r="A31" s="1" t="s">
        <v>71</v>
      </c>
      <c r="B31" s="1" t="s">
        <v>54</v>
      </c>
      <c r="C31" s="1" t="s">
        <v>72</v>
      </c>
      <c r="D31" s="4">
        <v>27083</v>
      </c>
      <c r="E31" s="4">
        <v>27083</v>
      </c>
      <c r="F31" s="1">
        <f t="shared" si="1"/>
        <v>0</v>
      </c>
      <c r="G31" s="1" t="s">
        <v>14</v>
      </c>
      <c r="H31" s="1" t="s">
        <v>15</v>
      </c>
      <c r="I31" s="2">
        <v>46113</v>
      </c>
      <c r="J31" s="2">
        <v>46161</v>
      </c>
      <c r="K31" s="1" t="s">
        <v>56</v>
      </c>
    </row>
    <row r="32" spans="1:11">
      <c r="A32" s="1" t="s">
        <v>73</v>
      </c>
      <c r="B32" s="1" t="s">
        <v>54</v>
      </c>
      <c r="C32" s="1" t="s">
        <v>74</v>
      </c>
      <c r="D32" s="4">
        <v>108707.2</v>
      </c>
      <c r="E32" s="4">
        <v>0</v>
      </c>
      <c r="F32" s="1">
        <f t="shared" si="1"/>
        <v>108707.2</v>
      </c>
      <c r="G32" s="1" t="s">
        <v>14</v>
      </c>
      <c r="H32" s="1" t="s">
        <v>28</v>
      </c>
      <c r="I32" s="2">
        <v>46114</v>
      </c>
      <c r="J32" s="2">
        <v>46157</v>
      </c>
      <c r="K32" s="1" t="s">
        <v>56</v>
      </c>
    </row>
    <row r="33" spans="1:11">
      <c r="A33" s="1" t="s">
        <v>75</v>
      </c>
      <c r="B33" s="1" t="s">
        <v>54</v>
      </c>
      <c r="C33" s="1" t="s">
        <v>76</v>
      </c>
      <c r="D33" s="4">
        <v>194279.4</v>
      </c>
      <c r="E33" s="4">
        <v>48570</v>
      </c>
      <c r="F33" s="1">
        <f t="shared" si="1"/>
        <v>145709.4</v>
      </c>
      <c r="G33" s="1" t="s">
        <v>18</v>
      </c>
      <c r="H33" s="1" t="s">
        <v>19</v>
      </c>
      <c r="I33" s="2">
        <v>46099</v>
      </c>
      <c r="K33" s="1" t="s">
        <v>77</v>
      </c>
    </row>
    <row r="34" spans="1:11">
      <c r="A34" s="1" t="s">
        <v>78</v>
      </c>
      <c r="B34" s="1" t="s">
        <v>54</v>
      </c>
      <c r="C34" s="1" t="s">
        <v>79</v>
      </c>
      <c r="D34" s="4">
        <v>210472.85</v>
      </c>
      <c r="E34" s="4">
        <v>69790</v>
      </c>
      <c r="F34" s="1">
        <f t="shared" si="1"/>
        <v>140682.85</v>
      </c>
      <c r="G34" s="1" t="s">
        <v>18</v>
      </c>
      <c r="H34" s="1" t="s">
        <v>19</v>
      </c>
      <c r="I34" s="2">
        <v>46120</v>
      </c>
      <c r="K34" s="1" t="s">
        <v>56</v>
      </c>
    </row>
    <row r="35" spans="1:11">
      <c r="A35" s="1" t="s">
        <v>80</v>
      </c>
      <c r="B35" s="1" t="s">
        <v>54</v>
      </c>
      <c r="C35" s="1" t="s">
        <v>81</v>
      </c>
      <c r="D35" s="4">
        <v>327798.1</v>
      </c>
      <c r="E35" s="4">
        <v>98094.5</v>
      </c>
      <c r="F35" s="1">
        <f t="shared" si="1"/>
        <v>229703.6</v>
      </c>
      <c r="G35" s="1" t="s">
        <v>18</v>
      </c>
      <c r="H35" s="1" t="s">
        <v>19</v>
      </c>
      <c r="I35" s="2">
        <v>46120</v>
      </c>
      <c r="K35" s="1" t="s">
        <v>56</v>
      </c>
    </row>
    <row r="36" spans="1:11">
      <c r="A36" s="1" t="s">
        <v>82</v>
      </c>
      <c r="B36" s="1" t="s">
        <v>54</v>
      </c>
      <c r="C36" s="1" t="s">
        <v>83</v>
      </c>
      <c r="D36" s="4">
        <v>206666.6</v>
      </c>
      <c r="E36" s="4">
        <v>62020</v>
      </c>
      <c r="F36" s="1">
        <f t="shared" si="1"/>
        <v>144646.6</v>
      </c>
      <c r="G36" s="1" t="s">
        <v>18</v>
      </c>
      <c r="H36" s="1" t="s">
        <v>19</v>
      </c>
      <c r="I36" s="2">
        <v>46121</v>
      </c>
      <c r="K36" s="1" t="s">
        <v>56</v>
      </c>
    </row>
    <row r="37" spans="1:11">
      <c r="A37" s="1" t="s">
        <v>84</v>
      </c>
      <c r="B37" s="1" t="s">
        <v>54</v>
      </c>
      <c r="C37" s="1" t="s">
        <v>85</v>
      </c>
      <c r="D37" s="4">
        <v>192148.95</v>
      </c>
      <c r="E37" s="4">
        <v>0</v>
      </c>
      <c r="F37" s="1">
        <f t="shared" si="1"/>
        <v>192148.95</v>
      </c>
      <c r="G37" s="1" t="s">
        <v>18</v>
      </c>
      <c r="H37" s="1" t="s">
        <v>28</v>
      </c>
      <c r="I37" s="2">
        <v>46132</v>
      </c>
      <c r="K37" s="1" t="s">
        <v>56</v>
      </c>
    </row>
    <row r="38" spans="1:11">
      <c r="A38" s="1" t="s">
        <v>86</v>
      </c>
      <c r="B38" s="1" t="s">
        <v>54</v>
      </c>
      <c r="C38" s="1" t="s">
        <v>87</v>
      </c>
      <c r="D38" s="4">
        <v>39564</v>
      </c>
      <c r="E38" s="4">
        <v>11869.2</v>
      </c>
      <c r="F38" s="1">
        <f t="shared" si="1"/>
        <v>27694.8</v>
      </c>
      <c r="G38" s="1" t="s">
        <v>18</v>
      </c>
      <c r="H38" s="1" t="s">
        <v>19</v>
      </c>
      <c r="I38" s="2">
        <v>46133</v>
      </c>
      <c r="K38" s="1" t="s">
        <v>56</v>
      </c>
    </row>
    <row r="39" spans="1:11">
      <c r="A39" s="1" t="s">
        <v>88</v>
      </c>
      <c r="B39" s="1" t="s">
        <v>54</v>
      </c>
      <c r="D39" s="4">
        <v>7000</v>
      </c>
      <c r="E39" s="4">
        <v>7000</v>
      </c>
      <c r="F39" s="1">
        <f t="shared" si="1"/>
        <v>0</v>
      </c>
      <c r="G39" s="1" t="s">
        <v>18</v>
      </c>
      <c r="H39" s="1" t="s">
        <v>15</v>
      </c>
      <c r="I39" s="2">
        <v>46140</v>
      </c>
      <c r="K39" s="1" t="s">
        <v>56</v>
      </c>
    </row>
    <row r="40" spans="1:11">
      <c r="A40" s="1" t="s">
        <v>89</v>
      </c>
      <c r="B40" s="1" t="s">
        <v>54</v>
      </c>
      <c r="C40" s="1" t="s">
        <v>90</v>
      </c>
      <c r="D40" s="4"/>
      <c r="E40" s="4">
        <v>3003.35</v>
      </c>
      <c r="F40" s="1">
        <f t="shared" si="1"/>
        <v>-3003.35</v>
      </c>
      <c r="G40" s="1" t="s">
        <v>18</v>
      </c>
      <c r="H40" s="1" t="s">
        <v>19</v>
      </c>
      <c r="I40" s="2">
        <v>46139</v>
      </c>
      <c r="K40" s="1" t="s">
        <v>77</v>
      </c>
    </row>
    <row r="41" spans="1:11">
      <c r="A41" s="1" t="s">
        <v>91</v>
      </c>
      <c r="B41" s="1" t="s">
        <v>54</v>
      </c>
      <c r="C41" s="1">
        <v>123</v>
      </c>
      <c r="D41" s="4">
        <v>84101.5</v>
      </c>
      <c r="E41" s="4">
        <v>27860</v>
      </c>
      <c r="F41" s="1">
        <f t="shared" si="1"/>
        <v>56241.5</v>
      </c>
      <c r="G41" s="1" t="s">
        <v>18</v>
      </c>
      <c r="H41" s="1" t="s">
        <v>19</v>
      </c>
      <c r="I41" s="2">
        <v>46141</v>
      </c>
      <c r="K41" s="1" t="s">
        <v>56</v>
      </c>
    </row>
    <row r="42" spans="1:11">
      <c r="A42" s="1" t="s">
        <v>92</v>
      </c>
      <c r="B42" s="1" t="s">
        <v>54</v>
      </c>
      <c r="C42" s="1" t="s">
        <v>93</v>
      </c>
      <c r="D42" s="4">
        <v>115328.5</v>
      </c>
      <c r="E42" s="4">
        <v>23065.7</v>
      </c>
      <c r="F42" s="1">
        <f t="shared" si="1"/>
        <v>92262.8</v>
      </c>
      <c r="G42" s="1" t="s">
        <v>14</v>
      </c>
      <c r="H42" s="1" t="s">
        <v>19</v>
      </c>
      <c r="I42" s="2">
        <v>46097</v>
      </c>
      <c r="J42" s="2">
        <v>46162</v>
      </c>
      <c r="K42" s="1" t="s">
        <v>56</v>
      </c>
    </row>
    <row r="43" spans="1:11">
      <c r="A43" s="1" t="s">
        <v>94</v>
      </c>
      <c r="B43" s="1" t="s">
        <v>54</v>
      </c>
      <c r="C43" s="1" t="s">
        <v>95</v>
      </c>
      <c r="D43" s="4">
        <v>549409</v>
      </c>
      <c r="E43" s="4">
        <v>0</v>
      </c>
      <c r="F43" s="1">
        <f t="shared" si="1"/>
        <v>549409</v>
      </c>
      <c r="G43" s="1" t="s">
        <v>18</v>
      </c>
      <c r="H43" s="1" t="s">
        <v>28</v>
      </c>
      <c r="I43" s="2">
        <v>46151</v>
      </c>
      <c r="K43" s="1" t="s">
        <v>56</v>
      </c>
    </row>
    <row r="44" spans="1:11">
      <c r="A44" s="1" t="s">
        <v>96</v>
      </c>
      <c r="B44" s="1" t="s">
        <v>54</v>
      </c>
      <c r="C44" s="1" t="s">
        <v>97</v>
      </c>
      <c r="D44" s="4">
        <v>405454</v>
      </c>
      <c r="E44" s="4">
        <v>118825</v>
      </c>
      <c r="F44" s="1">
        <f t="shared" si="1"/>
        <v>286629</v>
      </c>
      <c r="G44" s="1" t="s">
        <v>18</v>
      </c>
      <c r="H44" s="1" t="s">
        <v>19</v>
      </c>
      <c r="I44" s="2">
        <v>46148</v>
      </c>
      <c r="K44" s="1" t="s">
        <v>56</v>
      </c>
    </row>
    <row r="45" spans="1:11">
      <c r="A45" s="1" t="s">
        <v>98</v>
      </c>
      <c r="B45" s="1" t="s">
        <v>54</v>
      </c>
      <c r="C45" s="1" t="s">
        <v>99</v>
      </c>
      <c r="D45" s="4">
        <v>722092</v>
      </c>
      <c r="E45" s="4">
        <v>216627.6</v>
      </c>
      <c r="F45" s="1">
        <f t="shared" si="1"/>
        <v>505464.4</v>
      </c>
      <c r="G45" s="1" t="s">
        <v>18</v>
      </c>
      <c r="H45" s="1" t="s">
        <v>19</v>
      </c>
      <c r="I45" s="2">
        <v>46150</v>
      </c>
      <c r="K45" s="1" t="s">
        <v>56</v>
      </c>
    </row>
    <row r="46" spans="1:11">
      <c r="A46" s="1" t="s">
        <v>100</v>
      </c>
      <c r="B46" s="1" t="s">
        <v>54</v>
      </c>
      <c r="C46" s="1" t="s">
        <v>101</v>
      </c>
      <c r="D46" s="4">
        <v>85965.95</v>
      </c>
      <c r="E46" s="4">
        <v>8596.63</v>
      </c>
      <c r="F46" s="1">
        <f t="shared" si="1"/>
        <v>77369.32</v>
      </c>
      <c r="G46" s="1" t="s">
        <v>18</v>
      </c>
      <c r="H46" s="1" t="s">
        <v>19</v>
      </c>
      <c r="I46" s="2">
        <v>46153</v>
      </c>
      <c r="K46" s="1" t="s">
        <v>56</v>
      </c>
    </row>
    <row r="47" spans="1:11">
      <c r="A47" s="1" t="s">
        <v>102</v>
      </c>
      <c r="B47" s="1" t="s">
        <v>54</v>
      </c>
      <c r="C47" s="1" t="s">
        <v>103</v>
      </c>
      <c r="D47" s="4">
        <v>52985.1</v>
      </c>
      <c r="E47" s="4">
        <v>0</v>
      </c>
      <c r="F47" s="1">
        <f t="shared" si="1"/>
        <v>52985.1</v>
      </c>
      <c r="H47" s="1" t="s">
        <v>28</v>
      </c>
      <c r="I47" s="2">
        <v>46148</v>
      </c>
      <c r="K47" s="1" t="s">
        <v>56</v>
      </c>
    </row>
    <row r="48" spans="1:11">
      <c r="A48" s="1" t="s">
        <v>104</v>
      </c>
      <c r="B48" s="1" t="s">
        <v>54</v>
      </c>
      <c r="C48" s="1" t="s">
        <v>105</v>
      </c>
      <c r="D48" s="4">
        <v>4264.9</v>
      </c>
      <c r="E48" s="4">
        <v>1279</v>
      </c>
      <c r="F48" s="1">
        <f t="shared" si="1"/>
        <v>2985.9</v>
      </c>
      <c r="G48" s="1" t="s">
        <v>18</v>
      </c>
      <c r="H48" s="1" t="s">
        <v>19</v>
      </c>
      <c r="I48" s="2">
        <v>46155</v>
      </c>
      <c r="K48" s="1" t="s">
        <v>77</v>
      </c>
    </row>
    <row r="49" spans="1:11">
      <c r="A49" s="1" t="s">
        <v>106</v>
      </c>
      <c r="B49" s="1" t="s">
        <v>54</v>
      </c>
      <c r="C49" s="1" t="s">
        <v>107</v>
      </c>
      <c r="D49" s="4">
        <v>2100</v>
      </c>
      <c r="E49" s="4">
        <v>2100</v>
      </c>
      <c r="F49" s="1">
        <f t="shared" si="1"/>
        <v>0</v>
      </c>
      <c r="H49" s="1" t="s">
        <v>15</v>
      </c>
      <c r="I49" s="2">
        <v>46152</v>
      </c>
      <c r="K49" s="1" t="s">
        <v>56</v>
      </c>
    </row>
    <row r="50" spans="1:11">
      <c r="A50" s="1" t="s">
        <v>108</v>
      </c>
      <c r="B50" s="1" t="s">
        <v>54</v>
      </c>
      <c r="C50" s="1" t="s">
        <v>83</v>
      </c>
      <c r="D50" s="4">
        <v>15750</v>
      </c>
      <c r="E50" s="4">
        <v>0</v>
      </c>
      <c r="F50" s="1">
        <f t="shared" si="1"/>
        <v>15750</v>
      </c>
      <c r="H50" s="1" t="s">
        <v>28</v>
      </c>
      <c r="I50" s="2">
        <v>46157</v>
      </c>
      <c r="K50" s="1" t="s">
        <v>45</v>
      </c>
    </row>
    <row r="51" spans="1:11">
      <c r="A51" s="1" t="s">
        <v>109</v>
      </c>
      <c r="B51" s="1" t="s">
        <v>54</v>
      </c>
      <c r="C51" s="1" t="s">
        <v>110</v>
      </c>
      <c r="D51" s="4">
        <v>56232.75</v>
      </c>
      <c r="E51" s="4">
        <v>17500</v>
      </c>
      <c r="F51" s="1">
        <f t="shared" si="1"/>
        <v>38732.75</v>
      </c>
      <c r="G51" s="1" t="s">
        <v>18</v>
      </c>
      <c r="H51" s="1" t="s">
        <v>19</v>
      </c>
      <c r="I51" s="2">
        <v>46132</v>
      </c>
      <c r="K51" s="1" t="s">
        <v>56</v>
      </c>
    </row>
    <row r="52" spans="1:11">
      <c r="A52" s="1" t="s">
        <v>84</v>
      </c>
      <c r="B52" s="1" t="s">
        <v>54</v>
      </c>
      <c r="C52" s="1" t="s">
        <v>85</v>
      </c>
      <c r="D52" s="4"/>
      <c r="E52" s="4">
        <f>7*4266</f>
        <v>29862</v>
      </c>
      <c r="F52" s="1">
        <f t="shared" si="1"/>
        <v>-29862</v>
      </c>
      <c r="G52" s="1" t="s">
        <v>18</v>
      </c>
      <c r="H52" s="1" t="s">
        <v>19</v>
      </c>
      <c r="I52" s="2">
        <v>46132</v>
      </c>
    </row>
    <row r="53" spans="1:11">
      <c r="A53" s="1" t="s">
        <v>111</v>
      </c>
      <c r="B53" s="1" t="s">
        <v>54</v>
      </c>
      <c r="C53" s="1" t="s">
        <v>85</v>
      </c>
      <c r="D53" s="4"/>
      <c r="E53" s="4"/>
      <c r="F53" s="1">
        <f t="shared" ref="F53:F62" si="2">D53-E53</f>
        <v>0</v>
      </c>
      <c r="G53" s="1" t="s">
        <v>18</v>
      </c>
      <c r="I53" s="2">
        <v>46132</v>
      </c>
    </row>
    <row r="54" spans="1:11">
      <c r="A54" s="1" t="s">
        <v>112</v>
      </c>
      <c r="B54" s="1" t="s">
        <v>113</v>
      </c>
      <c r="C54" s="1" t="s">
        <v>114</v>
      </c>
      <c r="D54" s="1">
        <v>23646</v>
      </c>
      <c r="E54" s="1">
        <v>0</v>
      </c>
      <c r="F54" s="1">
        <f t="shared" si="2"/>
        <v>23646</v>
      </c>
      <c r="G54" s="1" t="s">
        <v>14</v>
      </c>
      <c r="H54" s="1" t="s">
        <v>28</v>
      </c>
      <c r="I54" s="2">
        <v>46048</v>
      </c>
      <c r="J54" s="2">
        <v>46110</v>
      </c>
    </row>
    <row r="55" spans="1:11">
      <c r="A55" s="1" t="s">
        <v>115</v>
      </c>
      <c r="B55" s="1" t="s">
        <v>113</v>
      </c>
      <c r="C55" s="1" t="s">
        <v>116</v>
      </c>
      <c r="D55" s="1">
        <v>94236.1</v>
      </c>
      <c r="E55" s="1">
        <v>28270.83</v>
      </c>
      <c r="F55" s="1">
        <f t="shared" si="2"/>
        <v>65965.27</v>
      </c>
      <c r="G55" s="1" t="s">
        <v>14</v>
      </c>
      <c r="H55" s="1" t="s">
        <v>19</v>
      </c>
      <c r="I55" s="2">
        <v>46044</v>
      </c>
      <c r="J55" s="2">
        <v>46137</v>
      </c>
    </row>
    <row r="56" spans="1:11">
      <c r="A56" s="1" t="s">
        <v>117</v>
      </c>
      <c r="B56" s="1" t="s">
        <v>113</v>
      </c>
      <c r="C56" s="1" t="s">
        <v>118</v>
      </c>
      <c r="D56" s="1">
        <v>337839.6</v>
      </c>
      <c r="E56" s="1">
        <v>67522.56</v>
      </c>
      <c r="F56" s="1">
        <f t="shared" si="2"/>
        <v>270317.04</v>
      </c>
      <c r="G56" s="1" t="s">
        <v>14</v>
      </c>
      <c r="H56" s="1" t="s">
        <v>19</v>
      </c>
      <c r="I56" s="2">
        <v>46104</v>
      </c>
      <c r="J56" s="2">
        <v>46158</v>
      </c>
    </row>
    <row r="57" spans="1:11">
      <c r="A57" s="1" t="s">
        <v>119</v>
      </c>
      <c r="B57" s="1" t="s">
        <v>113</v>
      </c>
      <c r="C57" s="1" t="s">
        <v>120</v>
      </c>
      <c r="D57" s="1">
        <v>148700.16</v>
      </c>
      <c r="E57" s="1">
        <v>44741.83</v>
      </c>
      <c r="F57" s="1">
        <f t="shared" si="2"/>
        <v>103958.33</v>
      </c>
      <c r="H57" s="1" t="s">
        <v>19</v>
      </c>
      <c r="I57" s="2">
        <v>46126</v>
      </c>
    </row>
    <row r="58" spans="1:11">
      <c r="A58" s="1" t="s">
        <v>121</v>
      </c>
      <c r="B58" s="1" t="s">
        <v>113</v>
      </c>
      <c r="C58" s="1" t="s">
        <v>118</v>
      </c>
      <c r="D58" s="1">
        <v>128598.4</v>
      </c>
      <c r="E58" s="1">
        <v>38521</v>
      </c>
      <c r="F58" s="1">
        <f t="shared" si="2"/>
        <v>90077.4</v>
      </c>
      <c r="G58" s="1" t="s">
        <v>18</v>
      </c>
      <c r="H58" s="1" t="s">
        <v>19</v>
      </c>
      <c r="I58" s="2">
        <v>46140</v>
      </c>
    </row>
    <row r="59" spans="1:11">
      <c r="A59" s="1" t="s">
        <v>122</v>
      </c>
      <c r="B59" s="1" t="s">
        <v>113</v>
      </c>
      <c r="C59" s="1" t="s">
        <v>123</v>
      </c>
      <c r="D59" s="3">
        <v>85990</v>
      </c>
      <c r="E59" s="3">
        <v>17198</v>
      </c>
      <c r="F59" s="1">
        <f t="shared" si="2"/>
        <v>68792</v>
      </c>
      <c r="G59" s="1" t="s">
        <v>18</v>
      </c>
      <c r="H59" s="1" t="s">
        <v>19</v>
      </c>
      <c r="I59" s="2">
        <v>46141</v>
      </c>
    </row>
    <row r="60" spans="1:11">
      <c r="A60" s="1" t="s">
        <v>124</v>
      </c>
      <c r="B60" s="1" t="s">
        <v>113</v>
      </c>
      <c r="C60" s="1" t="s">
        <v>125</v>
      </c>
      <c r="D60" s="3">
        <v>368775</v>
      </c>
      <c r="E60" s="3">
        <v>73755</v>
      </c>
      <c r="F60" s="1">
        <f t="shared" si="2"/>
        <v>295020</v>
      </c>
      <c r="G60" s="1" t="s">
        <v>18</v>
      </c>
      <c r="H60" s="1" t="s">
        <v>19</v>
      </c>
      <c r="I60" s="2">
        <v>46133</v>
      </c>
    </row>
    <row r="61" spans="1:11">
      <c r="A61" s="1" t="s">
        <v>126</v>
      </c>
      <c r="B61" s="1" t="s">
        <v>113</v>
      </c>
      <c r="C61" s="1" t="s">
        <v>127</v>
      </c>
      <c r="D61" s="3">
        <v>316879.32</v>
      </c>
      <c r="E61" s="3">
        <v>0</v>
      </c>
      <c r="F61" s="1">
        <f t="shared" si="2"/>
        <v>316879.32</v>
      </c>
      <c r="H61" s="1" t="s">
        <v>28</v>
      </c>
      <c r="I61" s="2">
        <v>46115</v>
      </c>
    </row>
    <row r="62" spans="1:11">
      <c r="A62" s="1" t="s">
        <v>128</v>
      </c>
      <c r="B62" s="1" t="s">
        <v>113</v>
      </c>
      <c r="C62" s="1" t="s">
        <v>129</v>
      </c>
      <c r="D62" s="1">
        <v>252412.44</v>
      </c>
      <c r="E62" s="1">
        <v>35000</v>
      </c>
      <c r="F62" s="1">
        <f t="shared" si="2"/>
        <v>217412.44</v>
      </c>
      <c r="G62" s="1" t="s">
        <v>18</v>
      </c>
      <c r="H62" s="1" t="s">
        <v>19</v>
      </c>
      <c r="I62" s="2">
        <v>46149</v>
      </c>
    </row>
    <row r="63" spans="1:11">
      <c r="A63" s="1" t="s">
        <v>130</v>
      </c>
      <c r="B63" s="1" t="s">
        <v>131</v>
      </c>
      <c r="C63" s="1" t="s">
        <v>132</v>
      </c>
      <c r="D63" s="1">
        <v>37894.57</v>
      </c>
      <c r="E63" s="1">
        <f>5413.51*7</f>
        <v>37894.57</v>
      </c>
      <c r="F63" s="1">
        <f t="shared" ref="F63:F70" si="3">D63-E63</f>
        <v>0</v>
      </c>
      <c r="G63" s="1" t="s">
        <v>14</v>
      </c>
      <c r="H63" s="1" t="s">
        <v>15</v>
      </c>
      <c r="I63" s="2">
        <v>46091</v>
      </c>
      <c r="J63" s="2">
        <v>46149</v>
      </c>
    </row>
    <row r="64" spans="1:11">
      <c r="A64" s="1" t="s">
        <v>133</v>
      </c>
      <c r="B64" s="1" t="s">
        <v>131</v>
      </c>
      <c r="C64" s="1" t="s">
        <v>134</v>
      </c>
      <c r="D64" s="1">
        <v>38605</v>
      </c>
      <c r="E64" s="1">
        <v>38605</v>
      </c>
      <c r="F64" s="1">
        <f t="shared" si="3"/>
        <v>0</v>
      </c>
      <c r="H64" s="1" t="s">
        <v>15</v>
      </c>
      <c r="I64" s="2">
        <v>46105</v>
      </c>
    </row>
    <row r="65" spans="1:10">
      <c r="A65" s="1" t="s">
        <v>135</v>
      </c>
      <c r="B65" s="1" t="s">
        <v>131</v>
      </c>
      <c r="C65" s="1" t="s">
        <v>136</v>
      </c>
      <c r="D65" s="3">
        <v>3600</v>
      </c>
      <c r="E65" s="1">
        <v>3600</v>
      </c>
      <c r="F65" s="1">
        <f t="shared" si="3"/>
        <v>0</v>
      </c>
      <c r="H65" s="1" t="s">
        <v>15</v>
      </c>
      <c r="I65" s="2">
        <v>46092</v>
      </c>
    </row>
    <row r="66" spans="1:10">
      <c r="A66" s="1" t="s">
        <v>137</v>
      </c>
      <c r="B66" s="1" t="s">
        <v>131</v>
      </c>
      <c r="C66" s="1" t="s">
        <v>138</v>
      </c>
      <c r="D66" s="1">
        <v>203008.4</v>
      </c>
      <c r="E66" s="1">
        <f>8700.36*7</f>
        <v>60902.52</v>
      </c>
      <c r="F66" s="1">
        <f t="shared" si="3"/>
        <v>142105.88</v>
      </c>
      <c r="G66" s="1" t="s">
        <v>18</v>
      </c>
      <c r="H66" s="1" t="s">
        <v>19</v>
      </c>
      <c r="I66" s="2">
        <v>46100</v>
      </c>
    </row>
    <row r="67" spans="1:10">
      <c r="A67" s="1" t="s">
        <v>139</v>
      </c>
      <c r="B67" s="1" t="s">
        <v>131</v>
      </c>
      <c r="C67" s="1" t="s">
        <v>140</v>
      </c>
      <c r="D67" s="1">
        <v>61401.2</v>
      </c>
      <c r="E67" s="1">
        <f>2631*7</f>
        <v>18417</v>
      </c>
      <c r="F67" s="1">
        <f t="shared" si="3"/>
        <v>42984.2</v>
      </c>
      <c r="G67" s="1" t="s">
        <v>14</v>
      </c>
      <c r="H67" s="1" t="s">
        <v>19</v>
      </c>
      <c r="I67" s="2">
        <v>46099</v>
      </c>
      <c r="J67" s="2">
        <v>46160</v>
      </c>
    </row>
    <row r="68" spans="1:10">
      <c r="A68" s="1" t="s">
        <v>141</v>
      </c>
      <c r="B68" s="1" t="s">
        <v>131</v>
      </c>
      <c r="C68" s="1" t="s">
        <v>134</v>
      </c>
      <c r="D68" s="1">
        <v>84791</v>
      </c>
      <c r="E68" s="1">
        <f>3633.9*7</f>
        <v>25437.3</v>
      </c>
      <c r="F68" s="1">
        <f t="shared" si="3"/>
        <v>59353.7</v>
      </c>
      <c r="G68" s="1" t="s">
        <v>18</v>
      </c>
      <c r="H68" s="1" t="s">
        <v>19</v>
      </c>
      <c r="I68" s="2">
        <v>46155</v>
      </c>
    </row>
    <row r="69" spans="1:10">
      <c r="A69" s="1" t="s">
        <v>142</v>
      </c>
      <c r="B69" s="1" t="s">
        <v>131</v>
      </c>
      <c r="C69" s="1" t="s">
        <v>143</v>
      </c>
      <c r="D69" s="1">
        <v>78896.65</v>
      </c>
      <c r="E69" s="1">
        <v>26000</v>
      </c>
      <c r="F69" s="1">
        <f t="shared" si="3"/>
        <v>52896.65</v>
      </c>
      <c r="G69" s="1" t="s">
        <v>18</v>
      </c>
      <c r="H69" s="1" t="s">
        <v>19</v>
      </c>
      <c r="I69" s="2">
        <v>46156</v>
      </c>
    </row>
    <row r="70" spans="1:10">
      <c r="A70" s="1" t="s">
        <v>144</v>
      </c>
      <c r="B70" s="1" t="s">
        <v>131</v>
      </c>
      <c r="C70" s="1" t="s">
        <v>145</v>
      </c>
      <c r="D70" s="1">
        <v>188734.42</v>
      </c>
      <c r="E70" s="1">
        <f>8088.62*7</f>
        <v>56620.34</v>
      </c>
      <c r="F70" s="1">
        <f t="shared" si="3"/>
        <v>132114.08</v>
      </c>
      <c r="G70" s="1" t="s">
        <v>18</v>
      </c>
      <c r="H70" s="1" t="s">
        <v>19</v>
      </c>
      <c r="I70" s="2">
        <v>46148</v>
      </c>
    </row>
  </sheetData>
  <autoFilter xmlns:etc="http://www.wps.cn/officeDocument/2017/etCustomData" ref="A1:K7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5:G42"/>
  <sheetViews>
    <sheetView workbookViewId="0">
      <selection activeCell="B44" sqref="B44"/>
    </sheetView>
  </sheetViews>
  <sheetFormatPr defaultColWidth="9" defaultRowHeight="13.5" outlineLevelCol="6"/>
  <cols>
    <col min="7" max="7" width="10.375"/>
  </cols>
  <sheetData>
    <row r="15" spans="6:7">
      <c r="F15">
        <v>130</v>
      </c>
      <c r="G15">
        <f>F15*7</f>
        <v>910</v>
      </c>
    </row>
    <row r="16" spans="6:7">
      <c r="F16">
        <v>6263</v>
      </c>
      <c r="G16">
        <f t="shared" ref="G16:G42" si="0">F16*7</f>
        <v>43841</v>
      </c>
    </row>
    <row r="17" spans="6:7">
      <c r="F17">
        <v>29163.8</v>
      </c>
      <c r="G17">
        <f t="shared" si="0"/>
        <v>204146.6</v>
      </c>
    </row>
    <row r="18" spans="6:7">
      <c r="F18">
        <v>29553</v>
      </c>
      <c r="G18">
        <f t="shared" si="0"/>
        <v>206871</v>
      </c>
    </row>
    <row r="19" spans="6:7">
      <c r="F19">
        <v>16339.96</v>
      </c>
      <c r="G19">
        <f t="shared" si="0"/>
        <v>114379.72</v>
      </c>
    </row>
    <row r="20" spans="6:7">
      <c r="F20">
        <v>33264.95</v>
      </c>
      <c r="G20">
        <f t="shared" si="0"/>
        <v>232854.65</v>
      </c>
    </row>
    <row r="21" spans="6:7">
      <c r="F21">
        <v>4332.4</v>
      </c>
      <c r="G21">
        <f t="shared" si="0"/>
        <v>30326.8</v>
      </c>
    </row>
    <row r="22" spans="6:7">
      <c r="F22">
        <v>122627.24</v>
      </c>
      <c r="G22">
        <f t="shared" si="0"/>
        <v>858390.68</v>
      </c>
    </row>
    <row r="23" spans="6:7">
      <c r="F23">
        <v>10290</v>
      </c>
      <c r="G23">
        <f t="shared" si="0"/>
        <v>72030</v>
      </c>
    </row>
    <row r="24" spans="6:7">
      <c r="F24">
        <v>8634.5</v>
      </c>
      <c r="G24">
        <f t="shared" si="0"/>
        <v>60441.5</v>
      </c>
    </row>
    <row r="25" spans="6:7">
      <c r="F25">
        <v>3869</v>
      </c>
      <c r="G25">
        <f t="shared" si="0"/>
        <v>27083</v>
      </c>
    </row>
    <row r="26" spans="6:7">
      <c r="F26">
        <v>15529.6</v>
      </c>
      <c r="G26">
        <f t="shared" si="0"/>
        <v>108707.2</v>
      </c>
    </row>
    <row r="27" spans="6:7">
      <c r="F27">
        <v>30067.55</v>
      </c>
      <c r="G27">
        <f t="shared" si="0"/>
        <v>210472.85</v>
      </c>
    </row>
    <row r="28" spans="6:7">
      <c r="F28">
        <v>46828.3</v>
      </c>
      <c r="G28">
        <f t="shared" si="0"/>
        <v>327798.1</v>
      </c>
    </row>
    <row r="29" spans="6:7">
      <c r="F29">
        <v>29523.8</v>
      </c>
      <c r="G29">
        <f t="shared" si="0"/>
        <v>206666.6</v>
      </c>
    </row>
    <row r="30" spans="6:7">
      <c r="F30">
        <v>27449.85</v>
      </c>
      <c r="G30">
        <f t="shared" si="0"/>
        <v>192148.95</v>
      </c>
    </row>
    <row r="31" spans="6:7">
      <c r="F31">
        <v>5652</v>
      </c>
      <c r="G31">
        <f t="shared" si="0"/>
        <v>39564</v>
      </c>
    </row>
    <row r="32" spans="6:7">
      <c r="F32">
        <v>1000</v>
      </c>
      <c r="G32">
        <f t="shared" si="0"/>
        <v>7000</v>
      </c>
    </row>
    <row r="33" spans="6:7">
      <c r="F33">
        <v>12014.5</v>
      </c>
      <c r="G33">
        <f t="shared" si="0"/>
        <v>84101.5</v>
      </c>
    </row>
    <row r="34" spans="6:7">
      <c r="F34">
        <v>16475.5</v>
      </c>
      <c r="G34">
        <f t="shared" si="0"/>
        <v>115328.5</v>
      </c>
    </row>
    <row r="35" spans="6:7">
      <c r="F35">
        <v>78487</v>
      </c>
      <c r="G35">
        <f t="shared" si="0"/>
        <v>549409</v>
      </c>
    </row>
    <row r="36" spans="6:7">
      <c r="F36">
        <v>57922</v>
      </c>
      <c r="G36">
        <f t="shared" si="0"/>
        <v>405454</v>
      </c>
    </row>
    <row r="37" spans="6:7">
      <c r="F37">
        <v>103156</v>
      </c>
      <c r="G37">
        <f t="shared" si="0"/>
        <v>722092</v>
      </c>
    </row>
    <row r="38" spans="6:7">
      <c r="F38">
        <v>12280.85</v>
      </c>
      <c r="G38">
        <f t="shared" si="0"/>
        <v>85965.95</v>
      </c>
    </row>
    <row r="39" spans="6:7">
      <c r="F39">
        <v>7569.3</v>
      </c>
      <c r="G39">
        <f t="shared" si="0"/>
        <v>52985.1</v>
      </c>
    </row>
    <row r="40" spans="6:7">
      <c r="F40">
        <v>300</v>
      </c>
      <c r="G40">
        <f t="shared" si="0"/>
        <v>2100</v>
      </c>
    </row>
    <row r="41" spans="6:7">
      <c r="F41">
        <v>2250</v>
      </c>
      <c r="G41">
        <f t="shared" si="0"/>
        <v>15750</v>
      </c>
    </row>
    <row r="42" spans="6:7">
      <c r="F42">
        <v>8033.25</v>
      </c>
      <c r="G42">
        <f t="shared" si="0"/>
        <v>56232.75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名字真难取啊</cp:lastModifiedBy>
  <dcterms:created xsi:type="dcterms:W3CDTF">2023-05-12T11:15:00Z</dcterms:created>
  <dcterms:modified xsi:type="dcterms:W3CDTF">2026-05-27T07:42:09Z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57DB114376BF4FE399A899745A97A85F_12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